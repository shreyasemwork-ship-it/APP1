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ahag\OneDrive\Desktop\"/>
    </mc:Choice>
  </mc:AlternateContent>
  <xr:revisionPtr revIDLastSave="0" documentId="13_ncr:1_{563E414A-47D5-4327-B391-2A5DB0F7788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F3" i="1"/>
  <c r="F4" i="1"/>
  <c r="F5" i="1"/>
  <c r="F6" i="1"/>
  <c r="F7" i="1"/>
  <c r="F8" i="1"/>
  <c r="F2" i="1"/>
  <c r="D9" i="1"/>
  <c r="D3" i="1"/>
  <c r="D4" i="1"/>
  <c r="D5" i="1"/>
  <c r="D6" i="1"/>
  <c r="D7" i="1"/>
  <c r="D8" i="1"/>
  <c r="D2" i="1"/>
  <c r="B9" i="1"/>
</calcChain>
</file>

<file path=xl/sharedStrings.xml><?xml version="1.0" encoding="utf-8"?>
<sst xmlns="http://schemas.openxmlformats.org/spreadsheetml/2006/main" count="14" uniqueCount="14">
  <si>
    <t>Category</t>
  </si>
  <si>
    <t>No.of Beds</t>
  </si>
  <si>
    <t>Room Rent/Day (₹)</t>
  </si>
  <si>
    <t>Intensive Care Beds</t>
  </si>
  <si>
    <t>NICU/PICU</t>
  </si>
  <si>
    <t>Single Rooms</t>
  </si>
  <si>
    <t>Twin Sharing Rooms</t>
  </si>
  <si>
    <t>Deluxe Rooms</t>
  </si>
  <si>
    <t>Economy Beds</t>
  </si>
  <si>
    <t>Emergency/Day Care</t>
  </si>
  <si>
    <t>Total Beds</t>
  </si>
  <si>
    <t>Annual Revenue (100%)</t>
  </si>
  <si>
    <t>Occupancy %</t>
  </si>
  <si>
    <t>Annual Revenue (Modified)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</si>
</sst>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5" xfId="0" applyBorder="1"/>
    <xf numFmtId="164" fontId="0" fillId="0" borderId="6" xfId="0" applyNumberFormat="1" applyBorder="1"/>
    <xf numFmtId="0" fontId="1" fillId="0" borderId="7" xfId="0" applyFont="1" applyBorder="1"/>
    <xf numFmtId="0" fontId="1" fillId="0" borderId="8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164" fontId="0" fillId="0" borderId="9" xfId="0" applyNumberFormat="1" applyFont="1" applyBorder="1"/>
    <xf numFmtId="9" fontId="0" fillId="0" borderId="1" xfId="1" applyFont="1" applyBorder="1"/>
    <xf numFmtId="164" fontId="0" fillId="0" borderId="8" xfId="0" applyNumberFormat="1" applyFont="1" applyBorder="1"/>
    <xf numFmtId="0" fontId="0" fillId="0" borderId="8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I10" sqref="I10"/>
    </sheetView>
  </sheetViews>
  <sheetFormatPr defaultRowHeight="14.5" x14ac:dyDescent="0.35"/>
  <cols>
    <col min="1" max="1" width="18.08984375" customWidth="1"/>
    <col min="2" max="2" width="11.7265625" customWidth="1"/>
    <col min="3" max="3" width="16.6328125" customWidth="1"/>
    <col min="4" max="4" width="22.54296875" customWidth="1"/>
    <col min="5" max="5" width="11.54296875" customWidth="1"/>
    <col min="6" max="6" width="23.36328125" customWidth="1"/>
  </cols>
  <sheetData>
    <row r="1" spans="1:6" x14ac:dyDescent="0.35">
      <c r="A1" s="7" t="s">
        <v>0</v>
      </c>
      <c r="B1" s="8" t="s">
        <v>1</v>
      </c>
      <c r="C1" s="8" t="s">
        <v>2</v>
      </c>
      <c r="D1" s="8" t="s">
        <v>11</v>
      </c>
      <c r="E1" s="8" t="s">
        <v>12</v>
      </c>
      <c r="F1" s="9" t="s">
        <v>13</v>
      </c>
    </row>
    <row r="2" spans="1:6" x14ac:dyDescent="0.35">
      <c r="A2" s="3" t="s">
        <v>3</v>
      </c>
      <c r="B2" s="1">
        <v>24</v>
      </c>
      <c r="C2" s="2">
        <v>6500</v>
      </c>
      <c r="D2" s="2">
        <f>(C2*B2)*365</f>
        <v>56940000</v>
      </c>
      <c r="E2" s="11">
        <v>1</v>
      </c>
      <c r="F2" s="4">
        <f>(B2*C2)*(365*E2)</f>
        <v>56940000</v>
      </c>
    </row>
    <row r="3" spans="1:6" x14ac:dyDescent="0.35">
      <c r="A3" s="3" t="s">
        <v>4</v>
      </c>
      <c r="B3" s="1">
        <v>16</v>
      </c>
      <c r="C3" s="2">
        <v>5500</v>
      </c>
      <c r="D3" s="2">
        <f t="shared" ref="D3:D8" si="0">(C3*B3)*365</f>
        <v>32120000</v>
      </c>
      <c r="E3" s="11">
        <v>1</v>
      </c>
      <c r="F3" s="4">
        <f t="shared" ref="F3:F9" si="1">(B3*C3)*(365*E3)</f>
        <v>32120000</v>
      </c>
    </row>
    <row r="4" spans="1:6" x14ac:dyDescent="0.35">
      <c r="A4" s="3" t="s">
        <v>7</v>
      </c>
      <c r="B4" s="1">
        <v>20</v>
      </c>
      <c r="C4" s="2">
        <v>8000</v>
      </c>
      <c r="D4" s="2">
        <f t="shared" si="0"/>
        <v>58400000</v>
      </c>
      <c r="E4" s="11">
        <v>1</v>
      </c>
      <c r="F4" s="4">
        <f t="shared" si="1"/>
        <v>58400000</v>
      </c>
    </row>
    <row r="5" spans="1:6" x14ac:dyDescent="0.35">
      <c r="A5" s="3" t="s">
        <v>5</v>
      </c>
      <c r="B5" s="1">
        <v>40</v>
      </c>
      <c r="C5" s="2">
        <v>5000</v>
      </c>
      <c r="D5" s="2">
        <f t="shared" si="0"/>
        <v>73000000</v>
      </c>
      <c r="E5" s="11">
        <v>1</v>
      </c>
      <c r="F5" s="4">
        <f t="shared" si="1"/>
        <v>73000000</v>
      </c>
    </row>
    <row r="6" spans="1:6" x14ac:dyDescent="0.35">
      <c r="A6" s="3" t="s">
        <v>6</v>
      </c>
      <c r="B6" s="1">
        <v>50</v>
      </c>
      <c r="C6" s="2">
        <v>3000</v>
      </c>
      <c r="D6" s="2">
        <f t="shared" si="0"/>
        <v>54750000</v>
      </c>
      <c r="E6" s="11">
        <v>1</v>
      </c>
      <c r="F6" s="4">
        <f t="shared" si="1"/>
        <v>54750000</v>
      </c>
    </row>
    <row r="7" spans="1:6" x14ac:dyDescent="0.35">
      <c r="A7" s="3" t="s">
        <v>8</v>
      </c>
      <c r="B7" s="1">
        <v>40</v>
      </c>
      <c r="C7" s="2">
        <v>2000</v>
      </c>
      <c r="D7" s="2">
        <f t="shared" si="0"/>
        <v>29200000</v>
      </c>
      <c r="E7" s="11">
        <v>1</v>
      </c>
      <c r="F7" s="4">
        <f t="shared" si="1"/>
        <v>29200000</v>
      </c>
    </row>
    <row r="8" spans="1:6" x14ac:dyDescent="0.35">
      <c r="A8" s="3" t="s">
        <v>9</v>
      </c>
      <c r="B8" s="1">
        <v>10</v>
      </c>
      <c r="C8" s="2">
        <v>1500</v>
      </c>
      <c r="D8" s="2">
        <f t="shared" si="0"/>
        <v>5475000</v>
      </c>
      <c r="E8" s="11">
        <v>1</v>
      </c>
      <c r="F8" s="4">
        <f t="shared" si="1"/>
        <v>5475000</v>
      </c>
    </row>
    <row r="9" spans="1:6" ht="15" thickBot="1" x14ac:dyDescent="0.4">
      <c r="A9" s="5" t="s">
        <v>10</v>
      </c>
      <c r="B9" s="6">
        <f>SUM(B2:B8)</f>
        <v>200</v>
      </c>
      <c r="C9" s="6"/>
      <c r="D9" s="12">
        <f>SUM(D2:D8)</f>
        <v>309885000</v>
      </c>
      <c r="E9" s="13"/>
      <c r="F9" s="10">
        <f>SUM(F2:F8)</f>
        <v>309885000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Jahagirdar</dc:creator>
  <cp:lastModifiedBy>Neeraj Jahagirdar</cp:lastModifiedBy>
  <dcterms:created xsi:type="dcterms:W3CDTF">2015-06-05T18:17:20Z</dcterms:created>
  <dcterms:modified xsi:type="dcterms:W3CDTF">2026-06-18T08:19:14Z</dcterms:modified>
</cp:coreProperties>
</file>